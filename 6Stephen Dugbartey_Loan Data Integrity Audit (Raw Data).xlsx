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Amended Loa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<sst xmlns="http://schemas.openxmlformats.org/spreadsheetml/2006/main" count="92" uniqueCount="42">
  <si>
    <t>Customer ID</t>
  </si>
  <si>
    <t>Customer Name</t>
  </si>
  <si>
    <t>Loan Disbursed Date</t>
  </si>
  <si>
    <t>Loan Amount Disbursed</t>
  </si>
  <si>
    <t>Loan Period (Months)</t>
  </si>
  <si>
    <t>Loan Annual Interest Rate (%)</t>
  </si>
  <si>
    <t>Loan Principal Balance</t>
  </si>
  <si>
    <t>Loan Final Repayment Date</t>
  </si>
  <si>
    <t>Type of Security</t>
  </si>
  <si>
    <t>Monthly Loan Instalment</t>
  </si>
  <si>
    <t>Collateral Held By Bank</t>
  </si>
  <si>
    <t>Loan Tenor Recalculated</t>
  </si>
  <si>
    <t>Loan Tenor Correctness</t>
  </si>
  <si>
    <t>Loan Principal Balance Recalculated</t>
  </si>
  <si>
    <t>Principal Balance Correctness</t>
  </si>
  <si>
    <t>Monthly Loan Instalment Recalculated</t>
  </si>
  <si>
    <t>Monthly Instalment Correctness</t>
  </si>
  <si>
    <t>Noah Peterson</t>
  </si>
  <si>
    <t>Vehicle</t>
  </si>
  <si>
    <t>Yes</t>
  </si>
  <si>
    <t>Robert Sinclair</t>
  </si>
  <si>
    <t>Equipment</t>
  </si>
  <si>
    <t>Kevin Park</t>
  </si>
  <si>
    <t>Jean Tremblay</t>
  </si>
  <si>
    <t>Victor Ivanov</t>
  </si>
  <si>
    <t>Commercial Property</t>
  </si>
  <si>
    <t>Priya Patel</t>
  </si>
  <si>
    <t>Unsecured</t>
  </si>
  <si>
    <t>No</t>
  </si>
  <si>
    <t>Grace O'Neill</t>
  </si>
  <si>
    <t>Cash Collateral</t>
  </si>
  <si>
    <t>Lucas Martin</t>
  </si>
  <si>
    <t>James Wilson</t>
  </si>
  <si>
    <t>Olivia Chen</t>
  </si>
  <si>
    <t>Mohammed Hassan</t>
  </si>
  <si>
    <t>Daniel Okafor</t>
  </si>
  <si>
    <t>Residential Property</t>
  </si>
  <si>
    <t>Fatima Ali</t>
  </si>
  <si>
    <t>Sophie Dubois</t>
  </si>
  <si>
    <t>Sarah Nguyen</t>
  </si>
  <si>
    <t>Emily Brown</t>
  </si>
  <si>
    <t>Aisha Mohammed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</si>
</sst>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yyyy/mm/dd\ hh:mm:ss"/>
    <numFmt numFmtId="179" formatCode="0.00_ "/>
  </numFmts>
  <fonts count="23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78" fontId="2" fillId="0" borderId="0" xfId="0" applyNumberFormat="1" applyFont="1"/>
    <xf numFmtId="0" fontId="1" fillId="0" borderId="2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2" borderId="0" xfId="0" applyFont="1" applyFill="1"/>
    <xf numFmtId="0" fontId="2" fillId="2" borderId="7" xfId="0" applyFont="1" applyFill="1" applyBorder="1"/>
    <xf numFmtId="179" fontId="2" fillId="2" borderId="0" xfId="0" applyNumberFormat="1" applyFont="1" applyFill="1"/>
    <xf numFmtId="179" fontId="2" fillId="2" borderId="8" xfId="0" applyNumberFormat="1" applyFont="1" applyFill="1" applyBorder="1"/>
    <xf numFmtId="0" fontId="2" fillId="2" borderId="8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178" formatCode="yyyy/mm/dd\ hh:mm:ss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178" formatCode="yyyy/mm/dd\ hh:mm:ss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border>
        <left/>
        <right style="thick">
          <color auto="1"/>
        </right>
        <top/>
        <bottom/>
        <diagonal/>
      </border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solid">
          <bgColor theme="0" tint="-0.15"/>
        </patternFill>
      </fill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solid">
          <bgColor theme="0" tint="-0.15"/>
        </patternFill>
      </fill>
      <border>
        <left style="thin">
          <color auto="1"/>
        </left>
        <right style="thin">
          <color auto="1"/>
        </right>
        <top/>
        <bottom/>
        <diagonal/>
      </border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179" formatCode="0.00_ "/>
      <fill>
        <patternFill patternType="solid">
          <bgColor theme="0" tint="-0.15"/>
        </patternFill>
      </fill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179" formatCode="0.00_ "/>
      <fill>
        <patternFill patternType="solid">
          <bgColor theme="0" tint="-0.15"/>
        </patternFill>
      </fill>
      <border>
        <left style="thin">
          <color auto="1"/>
        </left>
        <right/>
        <top/>
        <bottom/>
        <diagonal/>
      </border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179" formatCode="0.00_ "/>
      <fill>
        <patternFill patternType="solid">
          <bgColor theme="0" tint="-0.15"/>
        </patternFill>
      </fill>
      <border>
        <left style="thin">
          <color auto="1"/>
        </left>
        <right/>
        <top/>
        <bottom/>
        <diagonal/>
      </border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solid">
          <bgColor theme="0" tint="-0.15"/>
        </patternFill>
      </fill>
      <border>
        <left style="thin">
          <color auto="1"/>
        </left>
        <right/>
        <top/>
        <bottom/>
        <diagon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26" totalsRowShown="0">
  <autoFilter xmlns:etc="http://www.wps.cn/officeDocument/2017/etCustomData" ref="A1:Q26" etc:filterBottomFollowUsedRange="0"/>
  <tableColumns count="17">
    <tableColumn id="1" name="Customer ID" dataDxfId="0"/>
    <tableColumn id="2" name="Customer Name" dataDxfId="1"/>
    <tableColumn id="3" name="Loan Disbursed Date" dataDxfId="2"/>
    <tableColumn id="4" name="Loan Amount Disbursed" dataDxfId="3"/>
    <tableColumn id="5" name="Loan Period (Months)" dataDxfId="4"/>
    <tableColumn id="6" name="Loan Annual Interest Rate (%)" dataDxfId="5"/>
    <tableColumn id="7" name="Loan Principal Balance" dataDxfId="6"/>
    <tableColumn id="8" name="Loan Final Repayment Date" dataDxfId="7"/>
    <tableColumn id="9" name="Type of Security" dataDxfId="8"/>
    <tableColumn id="10" name="Monthly Loan Instalment" dataDxfId="9"/>
    <tableColumn id="11" name="Collateral Held By Bank" dataDxfId="10"/>
    <tableColumn id="12" name="Loan Tenor Recalculated" dataDxfId="11">
      <calculatedColumnFormula>(H2-C2)/30</calculatedColumnFormula>
    </tableColumn>
    <tableColumn id="13" name="Loan Tenor Correctness" dataDxfId="12">
      <calculatedColumnFormula>IF(E2=L2,"Correct Tenor","Incorrect Tenor")</calculatedColumnFormula>
    </tableColumn>
    <tableColumn id="14" name="Loan Principal Balance Recalculated" dataDxfId="13"/>
    <tableColumn id="15" name="Principal Balance Correctness" dataDxfId="14">
      <calculatedColumnFormula>IF(N2=G2,"Correct Principal Balance","Incorrect Principal Balance")</calculatedColumnFormula>
    </tableColumn>
    <tableColumn id="16" name="Monthly Loan Instalment Recalculated" dataDxfId="15"/>
    <tableColumn id="17" name="Monthly Instalment Correctness" dataDxfId="16">
      <calculatedColumnFormula>IF(P2=J2,"Correct Monthly Instalment","Incorrect Monthly Instalment")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zoomScale="90" zoomScaleNormal="90" topLeftCell="A2" workbookViewId="0">
      <selection activeCell="E27" sqref="E27"/>
    </sheetView>
  </sheetViews>
  <sheetFormatPr defaultColWidth="9" defaultRowHeight="14.4"/>
  <cols>
    <col min="1" max="1" width="11.2314814814815" customWidth="1"/>
    <col min="2" max="2" width="18.7777777777778" customWidth="1"/>
    <col min="3" max="3" width="19.8888888888889" customWidth="1"/>
    <col min="4" max="4" width="23.2222222222222" customWidth="1"/>
    <col min="5" max="5" width="21.2222222222222" customWidth="1"/>
    <col min="6" max="6" width="28.6666666666667" customWidth="1"/>
    <col min="7" max="7" width="21.7777777777778" customWidth="1"/>
    <col min="8" max="8" width="26.4444444444444" customWidth="1"/>
    <col min="9" max="9" width="21.8888888888889" customWidth="1"/>
    <col min="10" max="10" width="24.5555555555556" customWidth="1"/>
    <col min="11" max="11" width="22.4444444444444" customWidth="1"/>
    <col min="12" max="12" width="14.1944444444444" customWidth="1"/>
    <col min="13" max="13" width="17.037037037037" customWidth="1"/>
    <col min="14" max="14" width="16.4166666666667" customWidth="1"/>
    <col min="15" max="15" width="27.8888888888889" customWidth="1"/>
    <col min="16" max="16" width="16.9074074074074" customWidth="1"/>
    <col min="17" max="17" width="28.8888888888889" customWidth="1"/>
  </cols>
  <sheetData>
    <row r="1" ht="46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7" t="s">
        <v>14</v>
      </c>
      <c r="P1" s="7" t="s">
        <v>15</v>
      </c>
      <c r="Q1" s="7" t="s">
        <v>16</v>
      </c>
    </row>
    <row r="2" ht="15.6" spans="1:17">
      <c r="A2" s="2">
        <v>1001</v>
      </c>
      <c r="B2" s="2" t="s">
        <v>17</v>
      </c>
      <c r="C2" s="3">
        <v>45941</v>
      </c>
      <c r="D2" s="2">
        <v>120000</v>
      </c>
      <c r="E2" s="2">
        <v>63</v>
      </c>
      <c r="F2" s="2">
        <v>7.2</v>
      </c>
      <c r="G2" s="2">
        <v>112913.15</v>
      </c>
      <c r="H2" s="3">
        <v>47831</v>
      </c>
      <c r="I2" s="2" t="s">
        <v>18</v>
      </c>
      <c r="J2" s="2">
        <v>2624.76</v>
      </c>
      <c r="K2" s="8" t="s">
        <v>19</v>
      </c>
      <c r="L2" s="9">
        <f>(H2-C2)/30</f>
        <v>63</v>
      </c>
      <c r="M2" s="10" t="str">
        <f>IF(E2=L2,"Correct Tenor","Incorrect Tenor")</f>
        <v>Correct Tenor</v>
      </c>
      <c r="N2" s="11">
        <v>116884.5</v>
      </c>
      <c r="O2" s="12" t="str">
        <f>IF(N2=G2,"Correct Principal Balance","Incorrect Principal Balance")</f>
        <v>Incorrect Principal Balance</v>
      </c>
      <c r="P2" s="12">
        <v>2293.03</v>
      </c>
      <c r="Q2" s="13" t="str">
        <f>IF(P2=J2,"Correct Monthly Instalment","Incorrect Monthly Instalment")</f>
        <v>Incorrect Monthly Instalment</v>
      </c>
    </row>
    <row r="3" ht="15.6" spans="1:17">
      <c r="A3" s="2">
        <v>1002</v>
      </c>
      <c r="B3" s="2" t="s">
        <v>20</v>
      </c>
      <c r="C3" s="3">
        <v>46018</v>
      </c>
      <c r="D3" s="2">
        <v>120000</v>
      </c>
      <c r="E3" s="2">
        <v>27</v>
      </c>
      <c r="F3" s="2">
        <v>6.5</v>
      </c>
      <c r="G3" s="2">
        <v>119320.74</v>
      </c>
      <c r="H3" s="3">
        <v>46828</v>
      </c>
      <c r="I3" s="2" t="s">
        <v>21</v>
      </c>
      <c r="J3" s="2">
        <v>5094.44</v>
      </c>
      <c r="K3" s="8" t="s">
        <v>19</v>
      </c>
      <c r="L3" s="9">
        <f t="shared" ref="L3:L34" si="0">(H3-C3)/30</f>
        <v>27</v>
      </c>
      <c r="M3" s="10" t="str">
        <f t="shared" ref="M3:M34" si="1">IF(E3=L3,"Correct Tenor","Incorrect Tenor")</f>
        <v>Correct Tenor</v>
      </c>
      <c r="N3" s="11">
        <v>120000</v>
      </c>
      <c r="O3" s="12" t="str">
        <f t="shared" ref="O3:O26" si="2">IF(N3=G3,"Correct Principal Balance","Incorrect Principal Balance")</f>
        <v>Incorrect Principal Balance</v>
      </c>
      <c r="P3" s="12">
        <v>4789.37</v>
      </c>
      <c r="Q3" s="13" t="str">
        <f t="shared" ref="Q3:Q26" si="3">IF(P3=J3,"Correct Monthly Instalment","Incorrect Monthly Instalment")</f>
        <v>Incorrect Monthly Instalment</v>
      </c>
    </row>
    <row r="4" ht="15.6" spans="1:17">
      <c r="A4" s="2">
        <v>1003</v>
      </c>
      <c r="B4" s="2" t="s">
        <v>22</v>
      </c>
      <c r="C4" s="3">
        <v>45931</v>
      </c>
      <c r="D4" s="2">
        <v>40000</v>
      </c>
      <c r="E4" s="2">
        <v>25</v>
      </c>
      <c r="F4" s="2">
        <v>8</v>
      </c>
      <c r="G4" s="2">
        <v>34337.77</v>
      </c>
      <c r="H4" s="3">
        <v>46681</v>
      </c>
      <c r="I4" s="2" t="s">
        <v>21</v>
      </c>
      <c r="J4" s="2">
        <v>1866.67</v>
      </c>
      <c r="K4" s="8" t="s">
        <v>19</v>
      </c>
      <c r="L4" s="9">
        <f t="shared" si="0"/>
        <v>25</v>
      </c>
      <c r="M4" s="10" t="str">
        <f t="shared" si="1"/>
        <v>Correct Tenor</v>
      </c>
      <c r="N4" s="11">
        <v>35543.37</v>
      </c>
      <c r="O4" s="12" t="str">
        <f t="shared" si="2"/>
        <v>Incorrect Principal Balance</v>
      </c>
      <c r="P4" s="12">
        <v>1866.67</v>
      </c>
      <c r="Q4" s="13" t="str">
        <f t="shared" si="3"/>
        <v>Correct Monthly Instalment</v>
      </c>
    </row>
    <row r="5" ht="15.6" spans="1:17">
      <c r="A5" s="2">
        <v>1004</v>
      </c>
      <c r="B5" s="2" t="s">
        <v>23</v>
      </c>
      <c r="C5" s="3">
        <v>45853</v>
      </c>
      <c r="D5" s="2">
        <v>120000</v>
      </c>
      <c r="E5" s="2">
        <v>29</v>
      </c>
      <c r="F5" s="2">
        <v>7.2</v>
      </c>
      <c r="G5" s="2">
        <v>92633.66</v>
      </c>
      <c r="H5" s="3">
        <v>46723</v>
      </c>
      <c r="I5" s="2" t="s">
        <v>18</v>
      </c>
      <c r="J5" s="2">
        <v>4857.93</v>
      </c>
      <c r="K5" s="8" t="s">
        <v>19</v>
      </c>
      <c r="L5" s="9">
        <f t="shared" si="0"/>
        <v>29</v>
      </c>
      <c r="M5" s="10" t="str">
        <f t="shared" si="1"/>
        <v>Correct Tenor</v>
      </c>
      <c r="N5" s="11">
        <v>100766.9</v>
      </c>
      <c r="O5" s="12" t="str">
        <f t="shared" si="2"/>
        <v>Incorrect Principal Balance</v>
      </c>
      <c r="P5" s="12">
        <v>4520.74</v>
      </c>
      <c r="Q5" s="13" t="str">
        <f t="shared" si="3"/>
        <v>Incorrect Monthly Instalment</v>
      </c>
    </row>
    <row r="6" ht="15.6" spans="1:17">
      <c r="A6" s="2">
        <v>1005</v>
      </c>
      <c r="B6" s="2" t="s">
        <v>24</v>
      </c>
      <c r="C6" s="3">
        <v>45945</v>
      </c>
      <c r="D6" s="2">
        <v>40000</v>
      </c>
      <c r="E6" s="2">
        <v>65</v>
      </c>
      <c r="F6" s="2">
        <v>8</v>
      </c>
      <c r="G6" s="2">
        <v>37736.07</v>
      </c>
      <c r="H6" s="3">
        <v>47895</v>
      </c>
      <c r="I6" s="2" t="s">
        <v>25</v>
      </c>
      <c r="J6" s="2">
        <v>882.05</v>
      </c>
      <c r="K6" s="8" t="s">
        <v>19</v>
      </c>
      <c r="L6" s="9">
        <f t="shared" si="0"/>
        <v>65</v>
      </c>
      <c r="M6" s="10" t="str">
        <f t="shared" si="1"/>
        <v>Correct Tenor</v>
      </c>
      <c r="N6" s="11">
        <v>39009.37</v>
      </c>
      <c r="O6" s="12" t="str">
        <f t="shared" si="2"/>
        <v>Incorrect Principal Balance</v>
      </c>
      <c r="P6" s="12">
        <v>760.34</v>
      </c>
      <c r="Q6" s="13" t="str">
        <f t="shared" si="3"/>
        <v>Incorrect Monthly Instalment</v>
      </c>
    </row>
    <row r="7" ht="15.6" spans="1:17">
      <c r="A7" s="2">
        <v>1006</v>
      </c>
      <c r="B7" s="2" t="s">
        <v>26</v>
      </c>
      <c r="C7" s="3">
        <v>45910</v>
      </c>
      <c r="D7" s="2">
        <v>85000</v>
      </c>
      <c r="E7" s="2">
        <v>27</v>
      </c>
      <c r="F7" s="2">
        <v>11</v>
      </c>
      <c r="G7" s="2">
        <v>70338.04</v>
      </c>
      <c r="H7" s="3">
        <v>46720</v>
      </c>
      <c r="I7" s="2" t="s">
        <v>27</v>
      </c>
      <c r="J7" s="2">
        <v>3927.31</v>
      </c>
      <c r="K7" s="8" t="s">
        <v>28</v>
      </c>
      <c r="L7" s="9">
        <f t="shared" si="0"/>
        <v>27</v>
      </c>
      <c r="M7" s="10" t="str">
        <f t="shared" si="1"/>
        <v>Correct Tenor</v>
      </c>
      <c r="N7" s="11">
        <v>76556.21</v>
      </c>
      <c r="O7" s="12" t="str">
        <f t="shared" si="2"/>
        <v>Incorrect Principal Balance</v>
      </c>
      <c r="P7" s="12">
        <v>3568.12</v>
      </c>
      <c r="Q7" s="13" t="str">
        <f t="shared" si="3"/>
        <v>Incorrect Monthly Instalment</v>
      </c>
    </row>
    <row r="8" ht="15.6" spans="1:17">
      <c r="A8" s="2">
        <v>1007</v>
      </c>
      <c r="B8" s="2" t="s">
        <v>29</v>
      </c>
      <c r="C8" s="3">
        <v>45859</v>
      </c>
      <c r="D8" s="2">
        <v>120000</v>
      </c>
      <c r="E8" s="2">
        <v>52</v>
      </c>
      <c r="F8" s="2">
        <v>7.2</v>
      </c>
      <c r="G8" s="2">
        <v>103549.55</v>
      </c>
      <c r="H8" s="3">
        <v>47419</v>
      </c>
      <c r="I8" s="2" t="s">
        <v>30</v>
      </c>
      <c r="J8" s="2">
        <v>3027.69</v>
      </c>
      <c r="K8" s="8" t="s">
        <v>19</v>
      </c>
      <c r="L8" s="9">
        <f t="shared" si="0"/>
        <v>52</v>
      </c>
      <c r="M8" s="10" t="str">
        <f t="shared" si="1"/>
        <v>Correct Tenor</v>
      </c>
      <c r="N8" s="11">
        <v>110014.68</v>
      </c>
      <c r="O8" s="12" t="str">
        <f t="shared" si="2"/>
        <v>Incorrect Principal Balance</v>
      </c>
      <c r="P8" s="12">
        <v>2693.24</v>
      </c>
      <c r="Q8" s="13" t="str">
        <f t="shared" si="3"/>
        <v>Incorrect Monthly Instalment</v>
      </c>
    </row>
    <row r="9" ht="15.6" spans="1:17">
      <c r="A9" s="2">
        <v>1008</v>
      </c>
      <c r="B9" s="2" t="s">
        <v>31</v>
      </c>
      <c r="C9" s="3">
        <v>45941</v>
      </c>
      <c r="D9" s="2">
        <v>200000</v>
      </c>
      <c r="E9" s="2">
        <v>41</v>
      </c>
      <c r="F9" s="2">
        <v>6.5</v>
      </c>
      <c r="G9" s="2">
        <v>183904.27</v>
      </c>
      <c r="H9" s="3">
        <v>47171</v>
      </c>
      <c r="I9" s="2" t="s">
        <v>27</v>
      </c>
      <c r="J9" s="2">
        <v>5961.38</v>
      </c>
      <c r="K9" s="8" t="s">
        <v>28</v>
      </c>
      <c r="L9" s="9">
        <f t="shared" si="0"/>
        <v>41</v>
      </c>
      <c r="M9" s="10" t="str">
        <f t="shared" si="1"/>
        <v>Correct Tenor</v>
      </c>
      <c r="N9" s="11">
        <v>191237.21</v>
      </c>
      <c r="O9" s="12" t="str">
        <f t="shared" si="2"/>
        <v>Incorrect Principal Balance</v>
      </c>
      <c r="P9" s="12">
        <v>5452.89</v>
      </c>
      <c r="Q9" s="13" t="str">
        <f t="shared" si="3"/>
        <v>Incorrect Monthly Instalment</v>
      </c>
    </row>
    <row r="10" ht="15.6" spans="1:17">
      <c r="A10" s="2">
        <v>1009</v>
      </c>
      <c r="B10" s="2" t="s">
        <v>17</v>
      </c>
      <c r="C10" s="3">
        <v>45960</v>
      </c>
      <c r="D10" s="2">
        <v>120000</v>
      </c>
      <c r="E10" s="2">
        <v>49</v>
      </c>
      <c r="F10" s="2">
        <v>6.5</v>
      </c>
      <c r="G10" s="2">
        <v>113595.44</v>
      </c>
      <c r="H10" s="3">
        <v>47430</v>
      </c>
      <c r="I10" s="2" t="s">
        <v>25</v>
      </c>
      <c r="J10" s="2">
        <v>3098.98</v>
      </c>
      <c r="K10" s="8" t="s">
        <v>19</v>
      </c>
      <c r="L10" s="9">
        <f t="shared" si="0"/>
        <v>49</v>
      </c>
      <c r="M10" s="10" t="str">
        <f t="shared" si="1"/>
        <v>Correct Tenor</v>
      </c>
      <c r="N10" s="11">
        <v>115698.53</v>
      </c>
      <c r="O10" s="12" t="str">
        <f t="shared" si="2"/>
        <v>Incorrect Principal Balance</v>
      </c>
      <c r="P10" s="12">
        <v>2794.93</v>
      </c>
      <c r="Q10" s="13" t="str">
        <f t="shared" si="3"/>
        <v>Incorrect Monthly Instalment</v>
      </c>
    </row>
    <row r="11" ht="15.6" spans="1:17">
      <c r="A11" s="2">
        <v>1010</v>
      </c>
      <c r="B11" s="2" t="s">
        <v>32</v>
      </c>
      <c r="C11" s="3">
        <v>45913</v>
      </c>
      <c r="D11" s="2">
        <v>200000</v>
      </c>
      <c r="E11" s="2">
        <v>67</v>
      </c>
      <c r="F11" s="2">
        <v>8</v>
      </c>
      <c r="G11" s="2">
        <v>184309.78</v>
      </c>
      <c r="H11" s="3">
        <v>47923</v>
      </c>
      <c r="I11" s="2" t="s">
        <v>25</v>
      </c>
      <c r="J11" s="2">
        <v>4318.41</v>
      </c>
      <c r="K11" s="8" t="s">
        <v>19</v>
      </c>
      <c r="L11" s="9">
        <f t="shared" si="0"/>
        <v>67</v>
      </c>
      <c r="M11" s="10" t="str">
        <f t="shared" si="1"/>
        <v>Correct Tenor</v>
      </c>
      <c r="N11" s="11">
        <v>192819.39</v>
      </c>
      <c r="O11" s="12" t="str">
        <f t="shared" si="2"/>
        <v>Incorrect Principal Balance</v>
      </c>
      <c r="P11" s="12">
        <v>3710.98</v>
      </c>
      <c r="Q11" s="13" t="str">
        <f t="shared" si="3"/>
        <v>Incorrect Monthly Instalment</v>
      </c>
    </row>
    <row r="12" ht="15.6" spans="1:17">
      <c r="A12" s="2">
        <v>1011</v>
      </c>
      <c r="B12" s="2" t="s">
        <v>33</v>
      </c>
      <c r="C12" s="3">
        <v>45926</v>
      </c>
      <c r="D12" s="2">
        <v>40000</v>
      </c>
      <c r="E12" s="2">
        <v>57</v>
      </c>
      <c r="F12" s="2">
        <v>8</v>
      </c>
      <c r="G12" s="2">
        <v>36901.06</v>
      </c>
      <c r="H12" s="3">
        <v>47636</v>
      </c>
      <c r="I12" s="2" t="s">
        <v>21</v>
      </c>
      <c r="J12" s="2">
        <v>968.42</v>
      </c>
      <c r="K12" s="8" t="s">
        <v>19</v>
      </c>
      <c r="L12" s="9">
        <f t="shared" si="0"/>
        <v>57</v>
      </c>
      <c r="M12" s="10" t="str">
        <f t="shared" si="1"/>
        <v>Correct Tenor</v>
      </c>
      <c r="N12" s="11">
        <v>38250.93</v>
      </c>
      <c r="O12" s="12" t="str">
        <f t="shared" si="2"/>
        <v>Incorrect Principal Balance</v>
      </c>
      <c r="P12" s="12">
        <v>845.82</v>
      </c>
      <c r="Q12" s="13" t="str">
        <f t="shared" si="3"/>
        <v>Incorrect Monthly Instalment</v>
      </c>
    </row>
    <row r="13" ht="15.6" spans="1:17">
      <c r="A13" s="2">
        <v>1012</v>
      </c>
      <c r="B13" s="2" t="s">
        <v>34</v>
      </c>
      <c r="C13" s="3">
        <v>45955</v>
      </c>
      <c r="D13" s="2">
        <v>60000</v>
      </c>
      <c r="E13" s="2">
        <v>33</v>
      </c>
      <c r="F13" s="2">
        <v>8</v>
      </c>
      <c r="G13" s="2">
        <v>55046.06</v>
      </c>
      <c r="H13" s="3">
        <v>46945</v>
      </c>
      <c r="I13" s="2" t="s">
        <v>25</v>
      </c>
      <c r="J13" s="2">
        <v>2218.18</v>
      </c>
      <c r="K13" s="8" t="s">
        <v>19</v>
      </c>
      <c r="L13" s="9">
        <f t="shared" si="0"/>
        <v>33</v>
      </c>
      <c r="M13" s="10" t="str">
        <f t="shared" si="1"/>
        <v>Correct Tenor</v>
      </c>
      <c r="N13" s="11">
        <v>56726.05</v>
      </c>
      <c r="O13" s="12" t="str">
        <f t="shared" si="2"/>
        <v>Incorrect Principal Balance</v>
      </c>
      <c r="P13" s="12">
        <v>2031.54</v>
      </c>
      <c r="Q13" s="13" t="str">
        <f t="shared" si="3"/>
        <v>Incorrect Monthly Instalment</v>
      </c>
    </row>
    <row r="14" ht="15.6" spans="1:17">
      <c r="A14" s="2">
        <v>1013</v>
      </c>
      <c r="B14" s="2" t="s">
        <v>35</v>
      </c>
      <c r="C14" s="3">
        <v>45938</v>
      </c>
      <c r="D14" s="2">
        <v>200000</v>
      </c>
      <c r="E14" s="2">
        <v>59</v>
      </c>
      <c r="F14" s="2">
        <v>8</v>
      </c>
      <c r="G14" s="2">
        <v>186775.15</v>
      </c>
      <c r="H14" s="3">
        <v>47708</v>
      </c>
      <c r="I14" s="2" t="s">
        <v>30</v>
      </c>
      <c r="J14" s="2">
        <v>4723.16</v>
      </c>
      <c r="K14" s="8" t="s">
        <v>19</v>
      </c>
      <c r="L14" s="9">
        <f t="shared" si="0"/>
        <v>59</v>
      </c>
      <c r="M14" s="10" t="str">
        <f t="shared" si="1"/>
        <v>Correct Tenor</v>
      </c>
      <c r="N14" s="11">
        <v>194425.68</v>
      </c>
      <c r="O14" s="12" t="str">
        <f t="shared" si="2"/>
        <v>Incorrect Principal Balance</v>
      </c>
      <c r="P14" s="12">
        <v>4111.23</v>
      </c>
      <c r="Q14" s="13" t="str">
        <f t="shared" si="3"/>
        <v>Incorrect Monthly Instalment</v>
      </c>
    </row>
    <row r="15" ht="15.6" spans="1:17">
      <c r="A15" s="2">
        <v>1014</v>
      </c>
      <c r="B15" s="2" t="s">
        <v>20</v>
      </c>
      <c r="C15" s="3">
        <v>45942</v>
      </c>
      <c r="D15" s="2">
        <v>200000</v>
      </c>
      <c r="E15" s="2">
        <v>37</v>
      </c>
      <c r="F15" s="2">
        <v>9.5</v>
      </c>
      <c r="G15" s="2">
        <v>181363.36</v>
      </c>
      <c r="H15" s="3">
        <v>47052</v>
      </c>
      <c r="I15" s="2" t="s">
        <v>36</v>
      </c>
      <c r="J15" s="2">
        <v>6988.74</v>
      </c>
      <c r="K15" s="8" t="s">
        <v>19</v>
      </c>
      <c r="L15" s="9">
        <f t="shared" si="0"/>
        <v>37</v>
      </c>
      <c r="M15" s="10" t="str">
        <f t="shared" si="1"/>
        <v>Correct Tenor</v>
      </c>
      <c r="N15" s="11">
        <v>190615.9</v>
      </c>
      <c r="O15" s="12" t="str">
        <f t="shared" si="2"/>
        <v>Incorrect Principal Balance</v>
      </c>
      <c r="P15" s="12">
        <v>6256.88</v>
      </c>
      <c r="Q15" s="13" t="str">
        <f t="shared" si="3"/>
        <v>Incorrect Monthly Instalment</v>
      </c>
    </row>
    <row r="16" ht="15.6" spans="1:17">
      <c r="A16" s="2">
        <v>1015</v>
      </c>
      <c r="B16" s="2" t="s">
        <v>34</v>
      </c>
      <c r="C16" s="3">
        <v>45990</v>
      </c>
      <c r="D16" s="2">
        <v>25000</v>
      </c>
      <c r="E16" s="2">
        <v>54</v>
      </c>
      <c r="F16" s="2">
        <v>7.2</v>
      </c>
      <c r="G16" s="2">
        <v>24346.18</v>
      </c>
      <c r="H16" s="3">
        <v>47610</v>
      </c>
      <c r="I16" s="2" t="s">
        <v>30</v>
      </c>
      <c r="J16" s="2">
        <v>612.96</v>
      </c>
      <c r="K16" s="8" t="s">
        <v>19</v>
      </c>
      <c r="L16" s="9">
        <f t="shared" si="0"/>
        <v>54</v>
      </c>
      <c r="M16" s="10" t="str">
        <f t="shared" si="1"/>
        <v>Correct Tenor</v>
      </c>
      <c r="N16" s="11">
        <v>24606.62</v>
      </c>
      <c r="O16" s="12" t="str">
        <f t="shared" si="2"/>
        <v>Incorrect Principal Balance</v>
      </c>
      <c r="P16" s="12">
        <v>543.38</v>
      </c>
      <c r="Q16" s="13" t="str">
        <f t="shared" si="3"/>
        <v>Incorrect Monthly Instalment</v>
      </c>
    </row>
    <row r="17" ht="15.6" spans="1:17">
      <c r="A17" s="2">
        <v>1016</v>
      </c>
      <c r="B17" s="2" t="s">
        <v>20</v>
      </c>
      <c r="C17" s="3">
        <v>45969</v>
      </c>
      <c r="D17" s="2">
        <v>40000</v>
      </c>
      <c r="E17" s="2">
        <v>71</v>
      </c>
      <c r="F17" s="2">
        <v>8</v>
      </c>
      <c r="G17" s="2">
        <v>38533.58</v>
      </c>
      <c r="H17" s="3">
        <v>48099</v>
      </c>
      <c r="I17" s="2" t="s">
        <v>18</v>
      </c>
      <c r="J17" s="2">
        <v>830.05</v>
      </c>
      <c r="K17" s="8" t="s">
        <v>19</v>
      </c>
      <c r="L17" s="9">
        <f t="shared" si="0"/>
        <v>71</v>
      </c>
      <c r="M17" s="10" t="str">
        <f t="shared" si="1"/>
        <v>Correct Tenor</v>
      </c>
      <c r="N17" s="11">
        <v>39557.63</v>
      </c>
      <c r="O17" s="12" t="str">
        <f t="shared" si="2"/>
        <v>Incorrect Principal Balance</v>
      </c>
      <c r="P17" s="12">
        <v>709.03</v>
      </c>
      <c r="Q17" s="13" t="str">
        <f t="shared" si="3"/>
        <v>Incorrect Monthly Instalment</v>
      </c>
    </row>
    <row r="18" ht="15.6" spans="1:17">
      <c r="A18" s="2">
        <v>1017</v>
      </c>
      <c r="B18" s="2" t="s">
        <v>37</v>
      </c>
      <c r="C18" s="3">
        <v>45988</v>
      </c>
      <c r="D18" s="2">
        <v>25000</v>
      </c>
      <c r="E18" s="2">
        <v>38</v>
      </c>
      <c r="F18" s="2">
        <v>8</v>
      </c>
      <c r="G18" s="2">
        <v>24065.5</v>
      </c>
      <c r="H18" s="3">
        <v>47128</v>
      </c>
      <c r="I18" s="2" t="s">
        <v>30</v>
      </c>
      <c r="J18" s="2">
        <v>824.56</v>
      </c>
      <c r="K18" s="8" t="s">
        <v>19</v>
      </c>
      <c r="L18" s="9">
        <f t="shared" si="0"/>
        <v>38</v>
      </c>
      <c r="M18" s="10" t="str">
        <f t="shared" si="1"/>
        <v>Correct Tenor</v>
      </c>
      <c r="N18" s="11">
        <v>24419.74</v>
      </c>
      <c r="O18" s="12" t="str">
        <f t="shared" si="2"/>
        <v>Incorrect Principal Balance</v>
      </c>
      <c r="P18" s="12">
        <v>746.92</v>
      </c>
      <c r="Q18" s="13" t="str">
        <f t="shared" si="3"/>
        <v>Incorrect Monthly Instalment</v>
      </c>
    </row>
    <row r="19" ht="15.6" spans="1:17">
      <c r="A19" s="2">
        <v>1018</v>
      </c>
      <c r="B19" s="2" t="s">
        <v>38</v>
      </c>
      <c r="C19" s="3">
        <v>45891</v>
      </c>
      <c r="D19" s="2">
        <v>120000</v>
      </c>
      <c r="E19" s="2">
        <v>31</v>
      </c>
      <c r="F19" s="2">
        <v>8</v>
      </c>
      <c r="G19" s="2">
        <v>139444.8</v>
      </c>
      <c r="H19" s="3">
        <v>46821</v>
      </c>
      <c r="I19" s="2" t="s">
        <v>18</v>
      </c>
      <c r="J19" s="2">
        <v>4670.97</v>
      </c>
      <c r="K19" s="8" t="s">
        <v>19</v>
      </c>
      <c r="L19" s="9">
        <f t="shared" si="0"/>
        <v>31</v>
      </c>
      <c r="M19" s="10" t="str">
        <f t="shared" si="1"/>
        <v>Correct Tenor</v>
      </c>
      <c r="N19" s="11">
        <v>105869.16</v>
      </c>
      <c r="O19" s="12" t="str">
        <f t="shared" si="2"/>
        <v>Incorrect Principal Balance</v>
      </c>
      <c r="P19" s="12">
        <v>4297.58</v>
      </c>
      <c r="Q19" s="13" t="str">
        <f t="shared" si="3"/>
        <v>Incorrect Monthly Instalment</v>
      </c>
    </row>
    <row r="20" ht="15.6" spans="1:17">
      <c r="A20" s="2">
        <v>1019</v>
      </c>
      <c r="B20" s="2" t="s">
        <v>20</v>
      </c>
      <c r="C20" s="3">
        <v>45840</v>
      </c>
      <c r="D20" s="2">
        <v>85000</v>
      </c>
      <c r="E20" s="2">
        <v>37</v>
      </c>
      <c r="F20" s="2">
        <v>7.2</v>
      </c>
      <c r="G20" s="2">
        <v>67969.05</v>
      </c>
      <c r="H20" s="3">
        <v>46950</v>
      </c>
      <c r="I20" s="2" t="s">
        <v>27</v>
      </c>
      <c r="J20" s="2">
        <v>2807.3</v>
      </c>
      <c r="K20" s="8" t="s">
        <v>28</v>
      </c>
      <c r="L20" s="9">
        <f t="shared" si="0"/>
        <v>37</v>
      </c>
      <c r="M20" s="10" t="str">
        <f t="shared" si="1"/>
        <v>Correct Tenor</v>
      </c>
      <c r="N20" s="11">
        <v>74582.83</v>
      </c>
      <c r="O20" s="12" t="str">
        <f t="shared" si="2"/>
        <v>Incorrect Principal Balance</v>
      </c>
      <c r="P20" s="12">
        <v>2568.58</v>
      </c>
      <c r="Q20" s="13" t="str">
        <f t="shared" si="3"/>
        <v>Incorrect Monthly Instalment</v>
      </c>
    </row>
    <row r="21" ht="15.6" spans="1:17">
      <c r="A21" s="2">
        <v>1020</v>
      </c>
      <c r="B21" s="2" t="s">
        <v>31</v>
      </c>
      <c r="C21" s="3">
        <v>45926</v>
      </c>
      <c r="D21" s="2">
        <v>60000</v>
      </c>
      <c r="E21" s="2">
        <v>46</v>
      </c>
      <c r="F21" s="2">
        <v>11</v>
      </c>
      <c r="G21" s="2">
        <v>75692.51</v>
      </c>
      <c r="H21" s="3">
        <v>47306</v>
      </c>
      <c r="I21" s="2" t="s">
        <v>18</v>
      </c>
      <c r="J21" s="2">
        <v>1854.35</v>
      </c>
      <c r="K21" s="8" t="s">
        <v>19</v>
      </c>
      <c r="L21" s="9">
        <f t="shared" si="0"/>
        <v>46</v>
      </c>
      <c r="M21" s="10" t="str">
        <f t="shared" si="1"/>
        <v>Correct Tenor</v>
      </c>
      <c r="N21" s="11">
        <v>56807.42</v>
      </c>
      <c r="O21" s="12" t="str">
        <f t="shared" si="2"/>
        <v>Incorrect Principal Balance</v>
      </c>
      <c r="P21" s="12">
        <v>1604.5</v>
      </c>
      <c r="Q21" s="13" t="str">
        <f t="shared" si="3"/>
        <v>Incorrect Monthly Instalment</v>
      </c>
    </row>
    <row r="22" ht="15.6" spans="1:17">
      <c r="A22" s="2">
        <v>1021</v>
      </c>
      <c r="B22" s="2" t="s">
        <v>39</v>
      </c>
      <c r="C22" s="3">
        <v>45996</v>
      </c>
      <c r="D22" s="2">
        <v>40000</v>
      </c>
      <c r="E22" s="2">
        <v>63</v>
      </c>
      <c r="F22" s="2">
        <v>11</v>
      </c>
      <c r="G22" s="2">
        <v>39131.96</v>
      </c>
      <c r="H22" s="3">
        <v>48066</v>
      </c>
      <c r="I22" s="2" t="s">
        <v>27</v>
      </c>
      <c r="J22" s="2">
        <v>1001.59</v>
      </c>
      <c r="K22" s="8" t="s">
        <v>28</v>
      </c>
      <c r="L22" s="9">
        <f t="shared" si="0"/>
        <v>69</v>
      </c>
      <c r="M22" s="10" t="str">
        <f t="shared" si="1"/>
        <v>Incorrect Tenor</v>
      </c>
      <c r="N22" s="11">
        <v>40000</v>
      </c>
      <c r="O22" s="12" t="str">
        <f t="shared" si="2"/>
        <v>Incorrect Principal Balance</v>
      </c>
      <c r="P22" s="12">
        <v>838.63</v>
      </c>
      <c r="Q22" s="13" t="str">
        <f t="shared" si="3"/>
        <v>Incorrect Monthly Instalment</v>
      </c>
    </row>
    <row r="23" ht="15.6" spans="1:17">
      <c r="A23" s="2">
        <v>1022</v>
      </c>
      <c r="B23" s="2" t="s">
        <v>29</v>
      </c>
      <c r="C23" s="3">
        <v>45876</v>
      </c>
      <c r="D23" s="2">
        <v>200000</v>
      </c>
      <c r="E23" s="2">
        <v>44</v>
      </c>
      <c r="F23" s="2">
        <v>9.5</v>
      </c>
      <c r="G23" s="2">
        <v>170173.22</v>
      </c>
      <c r="H23" s="3">
        <v>47196</v>
      </c>
      <c r="I23" s="2" t="s">
        <v>27</v>
      </c>
      <c r="J23" s="2">
        <v>6128.79</v>
      </c>
      <c r="K23" s="8" t="s">
        <v>28</v>
      </c>
      <c r="L23" s="9">
        <f t="shared" si="0"/>
        <v>44</v>
      </c>
      <c r="M23" s="10" t="str">
        <f t="shared" si="1"/>
        <v>Correct Tenor</v>
      </c>
      <c r="N23" s="11">
        <v>184547.93</v>
      </c>
      <c r="O23" s="12" t="str">
        <f t="shared" si="2"/>
        <v>Incorrect Principal Balance</v>
      </c>
      <c r="P23" s="12">
        <v>5400.78</v>
      </c>
      <c r="Q23" s="13" t="str">
        <f t="shared" si="3"/>
        <v>Incorrect Monthly Instalment</v>
      </c>
    </row>
    <row r="24" ht="15.6" spans="1:17">
      <c r="A24" s="2">
        <v>1023</v>
      </c>
      <c r="B24" s="2" t="s">
        <v>40</v>
      </c>
      <c r="C24" s="3">
        <v>45968</v>
      </c>
      <c r="D24" s="2">
        <v>200000</v>
      </c>
      <c r="E24" s="2">
        <v>39</v>
      </c>
      <c r="F24" s="2">
        <v>7.2</v>
      </c>
      <c r="G24" s="2">
        <v>188609.22</v>
      </c>
      <c r="H24" s="3">
        <v>47138</v>
      </c>
      <c r="I24" s="2" t="s">
        <v>27</v>
      </c>
      <c r="J24" s="2">
        <v>6328.21</v>
      </c>
      <c r="K24" s="8" t="s">
        <v>28</v>
      </c>
      <c r="L24" s="9">
        <f t="shared" si="0"/>
        <v>39</v>
      </c>
      <c r="M24" s="10" t="str">
        <f t="shared" si="1"/>
        <v>Correct Tenor</v>
      </c>
      <c r="N24" s="11">
        <v>195433.12</v>
      </c>
      <c r="O24" s="12" t="str">
        <f t="shared" si="2"/>
        <v>Incorrect Principal Balance</v>
      </c>
      <c r="P24" s="12">
        <v>5766.88</v>
      </c>
      <c r="Q24" s="13" t="str">
        <f t="shared" si="3"/>
        <v>Incorrect Monthly Instalment</v>
      </c>
    </row>
    <row r="25" ht="15.6" spans="1:17">
      <c r="A25" s="2">
        <v>1024</v>
      </c>
      <c r="B25" s="2" t="s">
        <v>41</v>
      </c>
      <c r="C25" s="3">
        <v>45859</v>
      </c>
      <c r="D25" s="2">
        <v>40000</v>
      </c>
      <c r="E25" s="2">
        <v>68</v>
      </c>
      <c r="F25" s="2">
        <v>9.5</v>
      </c>
      <c r="G25" s="2">
        <v>35083.38</v>
      </c>
      <c r="H25" s="3">
        <v>47899</v>
      </c>
      <c r="I25" s="2" t="s">
        <v>27</v>
      </c>
      <c r="J25" s="2">
        <v>904.9</v>
      </c>
      <c r="K25" s="8" t="s">
        <v>28</v>
      </c>
      <c r="L25" s="9">
        <f t="shared" si="0"/>
        <v>68</v>
      </c>
      <c r="M25" s="10" t="str">
        <f t="shared" si="1"/>
        <v>Correct Tenor</v>
      </c>
      <c r="N25" s="11">
        <v>37732.84</v>
      </c>
      <c r="O25" s="12" t="str">
        <f t="shared" si="2"/>
        <v>Incorrect Principal Balance</v>
      </c>
      <c r="P25" s="12">
        <v>762.98</v>
      </c>
      <c r="Q25" s="13" t="str">
        <f t="shared" si="3"/>
        <v>Incorrect Monthly Instalment</v>
      </c>
    </row>
    <row r="26" ht="15.6" spans="1:17">
      <c r="A26" s="2">
        <v>1025</v>
      </c>
      <c r="B26" s="2" t="s">
        <v>23</v>
      </c>
      <c r="C26" s="3">
        <v>45999</v>
      </c>
      <c r="D26" s="2">
        <v>120000</v>
      </c>
      <c r="E26" s="2">
        <v>41</v>
      </c>
      <c r="F26" s="2">
        <v>11</v>
      </c>
      <c r="G26" s="2">
        <v>116912.76</v>
      </c>
      <c r="H26" s="3">
        <v>47229</v>
      </c>
      <c r="I26" s="2" t="s">
        <v>30</v>
      </c>
      <c r="J26" s="2">
        <v>4026.83</v>
      </c>
      <c r="K26" s="8" t="s">
        <v>19</v>
      </c>
      <c r="L26" s="9">
        <f t="shared" si="0"/>
        <v>41</v>
      </c>
      <c r="M26" s="10" t="str">
        <f t="shared" si="1"/>
        <v>Correct Tenor</v>
      </c>
      <c r="N26" s="11">
        <v>120000</v>
      </c>
      <c r="O26" s="12" t="str">
        <f t="shared" si="2"/>
        <v>Incorrect Principal Balance</v>
      </c>
      <c r="P26" s="12">
        <v>3524.44</v>
      </c>
      <c r="Q26" s="13" t="str">
        <f t="shared" si="3"/>
        <v>Incorrect Monthly Instalment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Amended Loan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</cp:lastModifiedBy>
  <dcterms:created xsi:type="dcterms:W3CDTF">2026-01-03T23:12:00Z</dcterms:created>
  <dcterms:modified xsi:type="dcterms:W3CDTF">2026-01-11T03:51:50Z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D22D086844E844C890FD6A444FCBE80E_12</vt:lpwstr>
  </property>
  <property fmtid="{D5CDD505-2E9C-101B-9397-08002B2CF9AE}" pid="3" name="KSOProductBuildVer">
    <vt:lpwstr>2057-12.2.0.23196</vt:lpwstr>
  </property>
</Properties>
</file>